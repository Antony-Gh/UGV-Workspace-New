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Line" sheetId="1" r:id="rId4"/>
    <sheet state="visible" name="Competitions" sheetId="2" r:id="rId5"/>
    <sheet state="visible" name="General Rules &amp; Guidence" sheetId="3" r:id="rId6"/>
  </sheets>
  <definedNames/>
  <calcPr/>
</workbook>
</file>

<file path=xl/sharedStrings.xml><?xml version="1.0" encoding="utf-8"?>
<sst xmlns="http://schemas.openxmlformats.org/spreadsheetml/2006/main" count="288" uniqueCount="186">
  <si>
    <t>Days</t>
  </si>
  <si>
    <t>Mision</t>
  </si>
  <si>
    <t>Goals</t>
  </si>
  <si>
    <t xml:space="preserve">Details </t>
  </si>
  <si>
    <t>Rule-Book</t>
  </si>
  <si>
    <t>IRC                       IGVC                  URC                     ERC                     UGVC(EGYPT)</t>
  </si>
  <si>
    <t>Meeting</t>
  </si>
  <si>
    <t>Initial Design</t>
  </si>
  <si>
    <t xml:space="preserve">الشكل اللى كل واحد هيشتغل عليه الفتره الجايه </t>
  </si>
  <si>
    <t>Design &amp; Optimization</t>
  </si>
  <si>
    <t>Final Design</t>
  </si>
  <si>
    <t>Preparing Final Purchase</t>
  </si>
  <si>
    <t>Manufaturing</t>
  </si>
  <si>
    <t>Testing</t>
  </si>
  <si>
    <t>Run internal ERC-style tasks (sample retrieval, analysis, reporting). Adjust hardware/software.</t>
  </si>
  <si>
    <t>Milestone</t>
  </si>
  <si>
    <t>Deliverable / Event</t>
  </si>
  <si>
    <t>Date</t>
  </si>
  <si>
    <t>Location</t>
  </si>
  <si>
    <t>Submission Format</t>
  </si>
  <si>
    <t>Judging Criteria</t>
  </si>
  <si>
    <t>Kick-Off (KO)</t>
  </si>
  <si>
    <t>Rules Publication / Registration Start</t>
  </si>
  <si>
    <t>10th February 2026</t>
  </si>
  <si>
    <t>Kraków, Poland</t>
  </si>
  <si>
    <t>Online Form / Document</t>
  </si>
  <si>
    <t>Rule Adherence</t>
  </si>
  <si>
    <t>KO: Registration End</t>
  </si>
  <si>
    <t>Registration Forms + Proposal</t>
  </si>
  <si>
    <t>10th March 2026</t>
  </si>
  <si>
    <t>PDF</t>
  </si>
  <si>
    <t>Completeness</t>
  </si>
  <si>
    <t>Preliminary Design Review (PDR-1)</t>
  </si>
  <si>
    <t>Preliminary Report + Preliminary RF Form</t>
  </si>
  <si>
    <t>6th April 2026</t>
  </si>
  <si>
    <t>PDF / Online Form</t>
  </si>
  <si>
    <t>Technical Feasibility</t>
  </si>
  <si>
    <t>PDR-2 / QUALIFICATION</t>
  </si>
  <si>
    <t>Video Material Delivery</t>
  </si>
  <si>
    <t>1st June 2026</t>
  </si>
  <si>
    <t>MP4</t>
  </si>
  <si>
    <t>Rover Functionality</t>
  </si>
  <si>
    <t>Qualification Announcement</t>
  </si>
  <si>
    <t>Teams are notified of qualification status.</t>
  </si>
  <si>
    <t>29th June 2026</t>
  </si>
  <si>
    <t>Email</t>
  </si>
  <si>
    <t>Qualification Score</t>
  </si>
  <si>
    <t>Critical Design Review (CDR-1)</t>
  </si>
  <si>
    <t>Final Report + Final RF Form</t>
  </si>
  <si>
    <t>26th July 2026</t>
  </si>
  <si>
    <t>Design Robustness</t>
  </si>
  <si>
    <t>Update Report #3</t>
  </si>
  <si>
    <t>Mars Yard Details Released</t>
  </si>
  <si>
    <t>8th August 2026</t>
  </si>
  <si>
    <t>Web Page</t>
  </si>
  <si>
    <t>N/A</t>
  </si>
  <si>
    <t>Exploration Task Readiness Review (E-TRR)</t>
  </si>
  <si>
    <t>Science Planning Report</t>
  </si>
  <si>
    <t>18th August 2026</t>
  </si>
  <si>
    <t>Scientific Method</t>
  </si>
  <si>
    <t>Droning Sub-Task Report</t>
  </si>
  <si>
    <t>Report delivery</t>
  </si>
  <si>
    <t>26th August 2026</t>
  </si>
  <si>
    <t>Drone Autonomy</t>
  </si>
  <si>
    <t>Competition Start</t>
  </si>
  <si>
    <t>Registration and warm-up day</t>
  </si>
  <si>
    <t>28th August 2026</t>
  </si>
  <si>
    <t>In-person</t>
  </si>
  <si>
    <t>Punctuality</t>
  </si>
  <si>
    <t>ERC Finals</t>
  </si>
  <si>
    <t>ERC Tasks competition period</t>
  </si>
  <si>
    <t>29th August–31st August 2026</t>
  </si>
  <si>
    <t>Task Performance</t>
  </si>
  <si>
    <t>Presentation Task</t>
  </si>
  <si>
    <t>Presentation File delivery</t>
  </si>
  <si>
    <t>30th August 2026</t>
  </si>
  <si>
    <t>PPTX</t>
  </si>
  <si>
    <t>Clarity / Content</t>
  </si>
  <si>
    <t>Closing ceremony</t>
  </si>
  <si>
    <t>Awards presentation</t>
  </si>
  <si>
    <t>31st August 2026</t>
  </si>
  <si>
    <t>Registration</t>
  </si>
  <si>
    <t>Registration window is open</t>
  </si>
  <si>
    <t>September 26 to October 26, 2026</t>
  </si>
  <si>
    <t>Goa, India</t>
  </si>
  <si>
    <t>Online Form</t>
  </si>
  <si>
    <t>Timeliness</t>
  </si>
  <si>
    <t>Early Bird Offer</t>
  </si>
  <si>
    <t>Discount deadline for Finals registration fee</t>
  </si>
  <si>
    <t>October 5, 2026</t>
  </si>
  <si>
    <t>Online Payment</t>
  </si>
  <si>
    <t>SDDR</t>
  </si>
  <si>
    <t>System Design and Development Review (SDDR) Package</t>
  </si>
  <si>
    <t>November 10, 2026</t>
  </si>
  <si>
    <t>PDF / Video</t>
  </si>
  <si>
    <t>Design Innovation</t>
  </si>
  <si>
    <t>Wildcards</t>
  </si>
  <si>
    <t>Live presentation deadline for wildcard entries</t>
  </si>
  <si>
    <t>before November 10, 2026</t>
  </si>
  <si>
    <t>Online Presentation</t>
  </si>
  <si>
    <t>Novelty / Potential</t>
  </si>
  <si>
    <t>Comms Standards</t>
  </si>
  <si>
    <t>Notification of communication standards to organizers</t>
  </si>
  <si>
    <t>December 1, 2026</t>
  </si>
  <si>
    <t>Technical Compliance</t>
  </si>
  <si>
    <t>Finals Confirmation</t>
  </si>
  <si>
    <t>Teams must confirm their participation in the Finals</t>
  </si>
  <si>
    <t>December 5, 2026</t>
  </si>
  <si>
    <t>Commitment</t>
  </si>
  <si>
    <t>IRC Finals</t>
  </si>
  <si>
    <t>Competition period</t>
  </si>
  <si>
    <t>January 28 - February 2, 2026</t>
  </si>
  <si>
    <t>Declaration of intent to compete</t>
  </si>
  <si>
    <t>no later than Friday, March 14, 2026</t>
  </si>
  <si>
    <t>Egypt</t>
  </si>
  <si>
    <t>PDR</t>
  </si>
  <si>
    <t>Preliminary Design Review (PDR) submission</t>
  </si>
  <si>
    <t>no later than Friday, March 28, 2026</t>
  </si>
  <si>
    <t>PDR Notification</t>
  </si>
  <si>
    <t>Teams notified of acceptance status</t>
  </si>
  <si>
    <t>by Friday, April 26, 2026</t>
  </si>
  <si>
    <t>PDR Score</t>
  </si>
  <si>
    <t>Technical Report</t>
  </si>
  <si>
    <t>Technical Report submission</t>
  </si>
  <si>
    <t>no later than Thursday, July 10, 2026</t>
  </si>
  <si>
    <t>Engineering Details</t>
  </si>
  <si>
    <t>Competition</t>
  </si>
  <si>
    <t>UGVC-9 Events</t>
  </si>
  <si>
    <t>July 26 to 31, 2026</t>
  </si>
  <si>
    <t>Team Intent to Compete</t>
  </si>
  <si>
    <t>no later than Friday, February 7, 2026</t>
  </si>
  <si>
    <t>Rochester, Michigan, USA</t>
  </si>
  <si>
    <t>Design Report</t>
  </si>
  <si>
    <t>Concept Design Report Submission</t>
  </si>
  <si>
    <t>no later than Friday, March 21, 2026</t>
  </si>
  <si>
    <t>Innovation / Feasibility</t>
  </si>
  <si>
    <t>Safety Paper</t>
  </si>
  <si>
    <t>Autonomous Navigation Safety Document</t>
  </si>
  <si>
    <t>no later than Friday, April 18, 2026</t>
  </si>
  <si>
    <t>Safety Protocols</t>
  </si>
  <si>
    <t>Technical Inspection</t>
  </si>
  <si>
    <t>Vehicle Pre-Competition Check</t>
  </si>
  <si>
    <t>no later than Thursday, June 5, 2026</t>
  </si>
  <si>
    <t>On-site Inspection</t>
  </si>
  <si>
    <t>Compliance / Readiness</t>
  </si>
  <si>
    <t>Competition Days</t>
  </si>
  <si>
    <t>Autonomous Challenge Events</t>
  </si>
  <si>
    <t>June 6-8, 2026</t>
  </si>
  <si>
    <t>Performance / Reliability</t>
  </si>
  <si>
    <t>Awards Ceremony</t>
  </si>
  <si>
    <t>Recognition and Prizes</t>
  </si>
  <si>
    <t>Sunday, June 8, 2026</t>
  </si>
  <si>
    <t>no later than Wednesday, October 30, 2024</t>
  </si>
  <si>
    <t>Hanksville, Utah</t>
  </si>
  <si>
    <t>Preliminary Design Review Document</t>
  </si>
  <si>
    <t>no later than Wednesday, December 4, 2024</t>
  </si>
  <si>
    <t>SAR</t>
  </si>
  <si>
    <t>System Acceptance Review (written and video components)</t>
  </si>
  <si>
    <t>no later than Friday, February 28, 2026</t>
  </si>
  <si>
    <t>PDF / MP4</t>
  </si>
  <si>
    <t>System Compliance</t>
  </si>
  <si>
    <t>Communication Info</t>
  </si>
  <si>
    <t>Communication devices and operator licenses details submitted</t>
  </si>
  <si>
    <t>no later than Friday, April 25, 2026</t>
  </si>
  <si>
    <t>Regulatory Adherence</t>
  </si>
  <si>
    <t>Final Expense Report</t>
  </si>
  <si>
    <t>Final Rover Expense Report</t>
  </si>
  <si>
    <t>no later than May 21, 2026</t>
  </si>
  <si>
    <t>Spreadsheet</t>
  </si>
  <si>
    <t>Financial Transparency</t>
  </si>
  <si>
    <t>Field Competition</t>
  </si>
  <si>
    <t>URC Finals</t>
  </si>
  <si>
    <t>May 28-31, 2026</t>
  </si>
  <si>
    <t>Category</t>
  </si>
  <si>
    <t>Rule/Condition</t>
  </si>
  <si>
    <t>**General Rules**</t>
  </si>
  <si>
    <t>Every team member must show total commitment to assigned tasks.</t>
  </si>
  <si>
    <t>No excuses will be accepted for incomplete or delayed work During Manufacturing</t>
  </si>
  <si>
    <t>A mandatory meeting will be held every Friday at 4:00 PM.</t>
  </si>
  <si>
    <t>**Evaluation System**</t>
  </si>
  <si>
    <t>Each week, evaluate members based on their completed tasks.</t>
  </si>
  <si>
    <t>Each task’s value depends on the total number of tasks assigned during the month, meaning one task can represent up to 100% of a member’s evaluation.</t>
  </si>
  <si>
    <t>Monthly evaluation score must be 20 or above to remain in the project.</t>
  </si>
  <si>
    <t>**Elimination Conditions**</t>
  </si>
  <si>
    <t>Failure to submit tasks two consecutive times leads to elimination.</t>
  </si>
  <si>
    <t>Having a monthly evaluation score below 20 results in elimination.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</si>
</sst>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EFEFEF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3C78D8"/>
        <bgColor rgb="FF3C78D8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164" xfId="0" applyAlignment="1" applyFill="1" applyFont="1" applyNumberFormat="1">
      <alignment readingOrder="0"/>
    </xf>
    <xf borderId="0" fillId="4" fontId="1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 shrinkToFit="0" vertical="center" wrapText="1"/>
    </xf>
    <xf borderId="0" fillId="3" fontId="2" numFmtId="164" xfId="0" applyFont="1" applyNumberFormat="1"/>
    <xf borderId="0" fillId="6" fontId="2" numFmtId="0" xfId="0" applyAlignment="1" applyFill="1" applyFont="1">
      <alignment horizontal="center" readingOrder="0" vertical="center"/>
    </xf>
    <xf borderId="0" fillId="7" fontId="2" numFmtId="164" xfId="0" applyFill="1" applyFont="1" applyNumberFormat="1"/>
    <xf borderId="0" fillId="8" fontId="2" numFmtId="164" xfId="0" applyFill="1" applyFont="1" applyNumberFormat="1"/>
    <xf borderId="0" fillId="5" fontId="2" numFmtId="0" xfId="0" applyAlignment="1" applyFont="1">
      <alignment horizontal="center" readingOrder="0" vertical="center"/>
    </xf>
    <xf borderId="0" fillId="9" fontId="3" numFmtId="0" xfId="0" applyAlignment="1" applyFill="1" applyFont="1">
      <alignment horizontal="center" readingOrder="0" shrinkToFit="0" vertical="center" wrapText="1"/>
    </xf>
    <xf borderId="0" fillId="10" fontId="2" numFmtId="164" xfId="0" applyFill="1" applyFont="1" applyNumberFormat="1"/>
    <xf borderId="0" fillId="11" fontId="2" numFmtId="164" xfId="0" applyFill="1" applyFont="1" applyNumberFormat="1"/>
    <xf borderId="0" fillId="5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6">
    <tableStyle count="4" pivot="0" name="Competi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etition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etition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etition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etitions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neral Rules &amp; Guiden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4" displayName="ERC" name="ERC" id="1">
  <tableColumns count="6">
    <tableColumn name="Milestone" id="1"/>
    <tableColumn name="Deliverable / Event" id="2"/>
    <tableColumn name="Date" id="3"/>
    <tableColumn name="Location" id="4"/>
    <tableColumn name="Submission Format" id="5"/>
    <tableColumn name="Judging Criteria" id="6"/>
  </tableColumns>
  <tableStyleInfo name="Competitions-style" showColumnStripes="0" showFirstColumn="1" showLastColumn="1" showRowStripes="1"/>
</table>
</file>

<file path=xl/tables/table2.xml><?xml version="1.0" encoding="utf-8"?>
<table xmlns="http://schemas.openxmlformats.org/spreadsheetml/2006/main" ref="A16:F23" displayName="IRC" name="IRC" id="2">
  <tableColumns count="6">
    <tableColumn name="Milestone" id="1"/>
    <tableColumn name="Deliverable / Event" id="2"/>
    <tableColumn name="Date" id="3"/>
    <tableColumn name="Location" id="4"/>
    <tableColumn name="Submission Format" id="5"/>
    <tableColumn name="Judging Criteria" id="6"/>
  </tableColumns>
  <tableStyleInfo name="Competitions-style 2" showColumnStripes="0" showFirstColumn="1" showLastColumn="1" showRowStripes="1"/>
</table>
</file>

<file path=xl/tables/table3.xml><?xml version="1.0" encoding="utf-8"?>
<table xmlns="http://schemas.openxmlformats.org/spreadsheetml/2006/main" ref="A25:F30" displayName="UGVC" name="UGVC" id="3">
  <tableColumns count="6">
    <tableColumn name="Milestone" id="1"/>
    <tableColumn name="Deliverable / Event" id="2"/>
    <tableColumn name="Date" id="3"/>
    <tableColumn name="Location" id="4"/>
    <tableColumn name="Submission Format" id="5"/>
    <tableColumn name="Judging Criteria" id="6"/>
  </tableColumns>
  <tableStyleInfo name="Competitions-style 3" showColumnStripes="0" showFirstColumn="1" showLastColumn="1" showRowStripes="1"/>
</table>
</file>

<file path=xl/tables/table4.xml><?xml version="1.0" encoding="utf-8"?>
<table xmlns="http://schemas.openxmlformats.org/spreadsheetml/2006/main" ref="A33:F39" displayName="IGVC" name="IGVC" id="4">
  <tableColumns count="6">
    <tableColumn name="Milestone" id="1"/>
    <tableColumn name="Deliverable / Event" id="2"/>
    <tableColumn name="Date" id="3"/>
    <tableColumn name="Location" id="4"/>
    <tableColumn name="Submission Format" id="5"/>
    <tableColumn name="Judging Criteria" id="6"/>
  </tableColumns>
  <tableStyleInfo name="Competitions-style 4" showColumnStripes="0" showFirstColumn="1" showLastColumn="1" showRowStripes="1"/>
</table>
</file>

<file path=xl/tables/table5.xml><?xml version="1.0" encoding="utf-8"?>
<table xmlns="http://schemas.openxmlformats.org/spreadsheetml/2006/main" ref="A41:F47" displayName="URC" name="URC" id="5">
  <tableColumns count="6">
    <tableColumn name="Milestone" id="1"/>
    <tableColumn name="Deliverable / Event" id="2"/>
    <tableColumn name="Date" id="3"/>
    <tableColumn name="Location" id="4"/>
    <tableColumn name="Submission Format" id="5"/>
    <tableColumn name="Judging Criteria" id="6"/>
  </tableColumns>
  <tableStyleInfo name="Competitions-style 5" showColumnStripes="0" showFirstColumn="1" showLastColumn="1" showRowStripes="1"/>
</table>
</file>

<file path=xl/tables/table6.xml><?xml version="1.0" encoding="utf-8"?>
<table xmlns="http://schemas.openxmlformats.org/spreadsheetml/2006/main" ref="A1:B9" displayName="جدول_1" name="جدول_1" id="6">
  <tableColumns count="2">
    <tableColumn name="Category" id="1"/>
    <tableColumn name="Rule/Condition" id="2"/>
  </tableColumns>
  <tableStyleInfo name="General Rules &amp; Guide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45942.0</v>
      </c>
      <c r="B2" s="3" t="s">
        <v>4</v>
      </c>
      <c r="C2" s="4" t="s">
        <v>5</v>
      </c>
    </row>
    <row r="3">
      <c r="A3" s="5">
        <f t="shared" ref="A3:A128" si="1">A2+1</f>
        <v>45943</v>
      </c>
    </row>
    <row r="4">
      <c r="A4" s="5">
        <f t="shared" si="1"/>
        <v>45944</v>
      </c>
    </row>
    <row r="5">
      <c r="A5" s="5">
        <f t="shared" si="1"/>
        <v>45945</v>
      </c>
    </row>
    <row r="6">
      <c r="A6" s="5">
        <f t="shared" si="1"/>
        <v>45946</v>
      </c>
    </row>
    <row r="7">
      <c r="A7" s="5">
        <f t="shared" si="1"/>
        <v>45947</v>
      </c>
      <c r="D7" s="6" t="s">
        <v>6</v>
      </c>
    </row>
    <row r="8">
      <c r="A8" s="7">
        <f t="shared" si="1"/>
        <v>45948</v>
      </c>
      <c r="B8" s="3" t="s">
        <v>7</v>
      </c>
      <c r="C8" s="4" t="s">
        <v>8</v>
      </c>
    </row>
    <row r="9">
      <c r="A9" s="7">
        <f t="shared" si="1"/>
        <v>45949</v>
      </c>
    </row>
    <row r="10">
      <c r="A10" s="7">
        <f t="shared" si="1"/>
        <v>45950</v>
      </c>
    </row>
    <row r="11">
      <c r="A11" s="7">
        <f t="shared" si="1"/>
        <v>45951</v>
      </c>
    </row>
    <row r="12">
      <c r="A12" s="7">
        <f t="shared" si="1"/>
        <v>45952</v>
      </c>
    </row>
    <row r="13">
      <c r="A13" s="7">
        <f t="shared" si="1"/>
        <v>45953</v>
      </c>
    </row>
    <row r="14">
      <c r="A14" s="7">
        <f t="shared" si="1"/>
        <v>45954</v>
      </c>
      <c r="D14" s="6" t="s">
        <v>6</v>
      </c>
    </row>
    <row r="15">
      <c r="A15" s="7">
        <f t="shared" si="1"/>
        <v>45955</v>
      </c>
    </row>
    <row r="16">
      <c r="A16" s="7">
        <f t="shared" si="1"/>
        <v>45956</v>
      </c>
    </row>
    <row r="17">
      <c r="A17" s="7">
        <f t="shared" si="1"/>
        <v>45957</v>
      </c>
    </row>
    <row r="18">
      <c r="A18" s="7">
        <f t="shared" si="1"/>
        <v>45958</v>
      </c>
    </row>
    <row r="19">
      <c r="A19" s="7">
        <f t="shared" si="1"/>
        <v>45959</v>
      </c>
    </row>
    <row r="20">
      <c r="A20" s="7">
        <f t="shared" si="1"/>
        <v>45960</v>
      </c>
    </row>
    <row r="21">
      <c r="A21" s="7">
        <f t="shared" si="1"/>
        <v>45961</v>
      </c>
      <c r="D21" s="6" t="s">
        <v>6</v>
      </c>
    </row>
    <row r="22">
      <c r="A22" s="8">
        <f t="shared" si="1"/>
        <v>45962</v>
      </c>
      <c r="B22" s="3" t="s">
        <v>9</v>
      </c>
      <c r="C22" s="9" t="s">
        <v>10</v>
      </c>
    </row>
    <row r="23">
      <c r="A23" s="8">
        <f t="shared" si="1"/>
        <v>45963</v>
      </c>
    </row>
    <row r="24">
      <c r="A24" s="8">
        <f t="shared" si="1"/>
        <v>45964</v>
      </c>
    </row>
    <row r="25">
      <c r="A25" s="8">
        <f t="shared" si="1"/>
        <v>45965</v>
      </c>
    </row>
    <row r="26">
      <c r="A26" s="8">
        <f t="shared" si="1"/>
        <v>45966</v>
      </c>
    </row>
    <row r="27">
      <c r="A27" s="8">
        <f t="shared" si="1"/>
        <v>45967</v>
      </c>
    </row>
    <row r="28">
      <c r="A28" s="8">
        <f t="shared" si="1"/>
        <v>45968</v>
      </c>
      <c r="D28" s="6" t="s">
        <v>6</v>
      </c>
    </row>
    <row r="29">
      <c r="A29" s="8">
        <f t="shared" si="1"/>
        <v>45969</v>
      </c>
    </row>
    <row r="30">
      <c r="A30" s="8">
        <f t="shared" si="1"/>
        <v>45970</v>
      </c>
    </row>
    <row r="31">
      <c r="A31" s="8">
        <f t="shared" si="1"/>
        <v>45971</v>
      </c>
    </row>
    <row r="32">
      <c r="A32" s="8">
        <f t="shared" si="1"/>
        <v>45972</v>
      </c>
    </row>
    <row r="33">
      <c r="A33" s="8">
        <f t="shared" si="1"/>
        <v>45973</v>
      </c>
    </row>
    <row r="34">
      <c r="A34" s="8">
        <f t="shared" si="1"/>
        <v>45974</v>
      </c>
    </row>
    <row r="35">
      <c r="A35" s="8">
        <f t="shared" si="1"/>
        <v>45975</v>
      </c>
      <c r="D35" s="6" t="s">
        <v>6</v>
      </c>
    </row>
    <row r="36">
      <c r="A36" s="8">
        <f t="shared" si="1"/>
        <v>45976</v>
      </c>
    </row>
    <row r="37">
      <c r="A37" s="8">
        <f t="shared" si="1"/>
        <v>45977</v>
      </c>
    </row>
    <row r="38">
      <c r="A38" s="8">
        <f t="shared" si="1"/>
        <v>45978</v>
      </c>
    </row>
    <row r="39">
      <c r="A39" s="8">
        <f t="shared" si="1"/>
        <v>45979</v>
      </c>
    </row>
    <row r="40">
      <c r="A40" s="8">
        <f t="shared" si="1"/>
        <v>45980</v>
      </c>
    </row>
    <row r="41">
      <c r="A41" s="8">
        <f t="shared" si="1"/>
        <v>45981</v>
      </c>
    </row>
    <row r="42">
      <c r="A42" s="8">
        <f t="shared" si="1"/>
        <v>45982</v>
      </c>
      <c r="D42" s="6" t="s">
        <v>6</v>
      </c>
    </row>
    <row r="43">
      <c r="A43" s="8">
        <f t="shared" si="1"/>
        <v>45983</v>
      </c>
    </row>
    <row r="44">
      <c r="A44" s="8">
        <f t="shared" si="1"/>
        <v>45984</v>
      </c>
    </row>
    <row r="45">
      <c r="A45" s="8">
        <f t="shared" si="1"/>
        <v>45985</v>
      </c>
    </row>
    <row r="46">
      <c r="A46" s="8">
        <f t="shared" si="1"/>
        <v>45986</v>
      </c>
    </row>
    <row r="47">
      <c r="A47" s="8">
        <f t="shared" si="1"/>
        <v>45987</v>
      </c>
    </row>
    <row r="48">
      <c r="A48" s="8">
        <f t="shared" si="1"/>
        <v>45988</v>
      </c>
    </row>
    <row r="49">
      <c r="A49" s="8">
        <f t="shared" si="1"/>
        <v>45989</v>
      </c>
      <c r="D49" s="6" t="s">
        <v>6</v>
      </c>
    </row>
    <row r="50">
      <c r="A50" s="8">
        <f t="shared" si="1"/>
        <v>45990</v>
      </c>
    </row>
    <row r="51">
      <c r="A51" s="8">
        <f t="shared" si="1"/>
        <v>45991</v>
      </c>
    </row>
    <row r="52">
      <c r="A52" s="8">
        <f t="shared" si="1"/>
        <v>45992</v>
      </c>
    </row>
    <row r="53">
      <c r="A53" s="8">
        <f t="shared" si="1"/>
        <v>45993</v>
      </c>
    </row>
    <row r="54">
      <c r="A54" s="8">
        <f t="shared" si="1"/>
        <v>45994</v>
      </c>
    </row>
    <row r="55">
      <c r="A55" s="8">
        <f t="shared" si="1"/>
        <v>45995</v>
      </c>
    </row>
    <row r="56">
      <c r="A56" s="8">
        <f t="shared" si="1"/>
        <v>45996</v>
      </c>
      <c r="D56" s="6" t="s">
        <v>6</v>
      </c>
    </row>
    <row r="57">
      <c r="A57" s="8">
        <f t="shared" si="1"/>
        <v>45997</v>
      </c>
    </row>
    <row r="58">
      <c r="A58" s="8">
        <f t="shared" si="1"/>
        <v>45998</v>
      </c>
    </row>
    <row r="59">
      <c r="A59" s="8">
        <f t="shared" si="1"/>
        <v>45999</v>
      </c>
    </row>
    <row r="60">
      <c r="A60" s="8">
        <f t="shared" si="1"/>
        <v>46000</v>
      </c>
    </row>
    <row r="61">
      <c r="A61" s="8">
        <f t="shared" si="1"/>
        <v>46001</v>
      </c>
    </row>
    <row r="62">
      <c r="A62" s="8">
        <f t="shared" si="1"/>
        <v>46002</v>
      </c>
    </row>
    <row r="63">
      <c r="A63" s="8">
        <f t="shared" si="1"/>
        <v>46003</v>
      </c>
      <c r="D63" s="6" t="s">
        <v>6</v>
      </c>
    </row>
    <row r="64">
      <c r="A64" s="8">
        <f t="shared" si="1"/>
        <v>46004</v>
      </c>
    </row>
    <row r="65">
      <c r="A65" s="8">
        <f t="shared" si="1"/>
        <v>46005</v>
      </c>
    </row>
    <row r="66">
      <c r="A66" s="8">
        <f t="shared" si="1"/>
        <v>46006</v>
      </c>
    </row>
    <row r="67">
      <c r="A67" s="8">
        <f t="shared" si="1"/>
        <v>46007</v>
      </c>
    </row>
    <row r="68">
      <c r="A68" s="8">
        <f t="shared" si="1"/>
        <v>46008</v>
      </c>
      <c r="D68" s="10" t="s">
        <v>11</v>
      </c>
    </row>
    <row r="69">
      <c r="A69" s="8">
        <f t="shared" si="1"/>
        <v>46009</v>
      </c>
    </row>
    <row r="70">
      <c r="A70" s="8">
        <f t="shared" si="1"/>
        <v>46010</v>
      </c>
    </row>
    <row r="71">
      <c r="A71" s="8">
        <f t="shared" si="1"/>
        <v>46011</v>
      </c>
    </row>
    <row r="72">
      <c r="A72" s="8">
        <f t="shared" si="1"/>
        <v>46012</v>
      </c>
    </row>
    <row r="73">
      <c r="A73" s="8">
        <f t="shared" si="1"/>
        <v>46013</v>
      </c>
    </row>
    <row r="74">
      <c r="A74" s="8">
        <f t="shared" si="1"/>
        <v>46014</v>
      </c>
    </row>
    <row r="75">
      <c r="A75" s="8">
        <f t="shared" si="1"/>
        <v>46015</v>
      </c>
    </row>
    <row r="76">
      <c r="A76" s="8">
        <f t="shared" si="1"/>
        <v>46016</v>
      </c>
    </row>
    <row r="77">
      <c r="A77" s="8">
        <f t="shared" si="1"/>
        <v>46017</v>
      </c>
    </row>
    <row r="78">
      <c r="A78" s="11">
        <f t="shared" si="1"/>
        <v>46018</v>
      </c>
      <c r="B78" s="3" t="s">
        <v>12</v>
      </c>
    </row>
    <row r="79">
      <c r="A79" s="11">
        <f t="shared" si="1"/>
        <v>46019</v>
      </c>
    </row>
    <row r="80">
      <c r="A80" s="11">
        <f t="shared" si="1"/>
        <v>46020</v>
      </c>
    </row>
    <row r="81">
      <c r="A81" s="11">
        <f t="shared" si="1"/>
        <v>46021</v>
      </c>
    </row>
    <row r="82">
      <c r="A82" s="11">
        <f t="shared" si="1"/>
        <v>46022</v>
      </c>
    </row>
    <row r="83">
      <c r="A83" s="11">
        <f t="shared" si="1"/>
        <v>46023</v>
      </c>
    </row>
    <row r="84">
      <c r="A84" s="11">
        <f t="shared" si="1"/>
        <v>46024</v>
      </c>
    </row>
    <row r="85">
      <c r="A85" s="11">
        <f t="shared" si="1"/>
        <v>46025</v>
      </c>
    </row>
    <row r="86">
      <c r="A86" s="11">
        <f t="shared" si="1"/>
        <v>46026</v>
      </c>
    </row>
    <row r="87">
      <c r="A87" s="11">
        <f t="shared" si="1"/>
        <v>46027</v>
      </c>
    </row>
    <row r="88">
      <c r="A88" s="11">
        <f t="shared" si="1"/>
        <v>46028</v>
      </c>
    </row>
    <row r="89">
      <c r="A89" s="11">
        <f t="shared" si="1"/>
        <v>46029</v>
      </c>
    </row>
    <row r="90">
      <c r="A90" s="11">
        <f t="shared" si="1"/>
        <v>46030</v>
      </c>
    </row>
    <row r="91">
      <c r="A91" s="11">
        <f t="shared" si="1"/>
        <v>46031</v>
      </c>
    </row>
    <row r="92">
      <c r="A92" s="11">
        <f t="shared" si="1"/>
        <v>46032</v>
      </c>
    </row>
    <row r="93">
      <c r="A93" s="11">
        <f t="shared" si="1"/>
        <v>46033</v>
      </c>
    </row>
    <row r="94">
      <c r="A94" s="11">
        <f t="shared" si="1"/>
        <v>46034</v>
      </c>
    </row>
    <row r="95">
      <c r="A95" s="11">
        <f t="shared" si="1"/>
        <v>46035</v>
      </c>
    </row>
    <row r="96">
      <c r="A96" s="11">
        <f t="shared" si="1"/>
        <v>46036</v>
      </c>
    </row>
    <row r="97">
      <c r="A97" s="11">
        <f t="shared" si="1"/>
        <v>46037</v>
      </c>
    </row>
    <row r="98">
      <c r="A98" s="12">
        <f t="shared" si="1"/>
        <v>46038</v>
      </c>
      <c r="B98" s="3" t="s">
        <v>13</v>
      </c>
      <c r="C98" s="13" t="s">
        <v>14</v>
      </c>
    </row>
    <row r="99">
      <c r="A99" s="12">
        <f t="shared" si="1"/>
        <v>46039</v>
      </c>
    </row>
    <row r="100">
      <c r="A100" s="12">
        <f t="shared" si="1"/>
        <v>46040</v>
      </c>
    </row>
    <row r="101">
      <c r="A101" s="12">
        <f t="shared" si="1"/>
        <v>46041</v>
      </c>
    </row>
    <row r="102">
      <c r="A102" s="12">
        <f t="shared" si="1"/>
        <v>46042</v>
      </c>
    </row>
    <row r="103">
      <c r="A103" s="12">
        <f t="shared" si="1"/>
        <v>46043</v>
      </c>
    </row>
    <row r="104">
      <c r="A104" s="12">
        <f t="shared" si="1"/>
        <v>46044</v>
      </c>
    </row>
    <row r="105">
      <c r="A105" s="12">
        <f t="shared" si="1"/>
        <v>46045</v>
      </c>
    </row>
    <row r="106">
      <c r="A106" s="12">
        <f t="shared" si="1"/>
        <v>46046</v>
      </c>
    </row>
    <row r="107">
      <c r="A107" s="12">
        <f t="shared" si="1"/>
        <v>46047</v>
      </c>
    </row>
    <row r="108">
      <c r="A108" s="12">
        <f t="shared" si="1"/>
        <v>46048</v>
      </c>
    </row>
    <row r="109">
      <c r="A109" s="12">
        <f t="shared" si="1"/>
        <v>46049</v>
      </c>
    </row>
    <row r="110">
      <c r="A110" s="12">
        <f t="shared" si="1"/>
        <v>46050</v>
      </c>
    </row>
    <row r="111">
      <c r="A111" s="12">
        <f t="shared" si="1"/>
        <v>46051</v>
      </c>
    </row>
    <row r="112">
      <c r="A112" s="12">
        <f t="shared" si="1"/>
        <v>46052</v>
      </c>
    </row>
    <row r="113">
      <c r="A113" s="12">
        <f t="shared" si="1"/>
        <v>46053</v>
      </c>
    </row>
    <row r="114">
      <c r="A114" s="12">
        <f t="shared" si="1"/>
        <v>46054</v>
      </c>
    </row>
    <row r="115">
      <c r="A115" s="12">
        <f t="shared" si="1"/>
        <v>46055</v>
      </c>
    </row>
    <row r="116">
      <c r="A116" s="12">
        <f t="shared" si="1"/>
        <v>46056</v>
      </c>
    </row>
    <row r="117">
      <c r="A117" s="12">
        <f t="shared" si="1"/>
        <v>46057</v>
      </c>
    </row>
    <row r="118">
      <c r="A118" s="12">
        <f t="shared" si="1"/>
        <v>46058</v>
      </c>
    </row>
    <row r="119">
      <c r="A119" s="12">
        <f t="shared" si="1"/>
        <v>46059</v>
      </c>
    </row>
    <row r="120">
      <c r="A120" s="12">
        <f t="shared" si="1"/>
        <v>46060</v>
      </c>
    </row>
    <row r="121">
      <c r="A121" s="12">
        <f t="shared" si="1"/>
        <v>46061</v>
      </c>
    </row>
    <row r="122">
      <c r="A122" s="12">
        <f t="shared" si="1"/>
        <v>46062</v>
      </c>
    </row>
    <row r="123">
      <c r="A123" s="12">
        <f t="shared" si="1"/>
        <v>46063</v>
      </c>
    </row>
    <row r="124">
      <c r="A124" s="12">
        <f t="shared" si="1"/>
        <v>46064</v>
      </c>
    </row>
    <row r="125">
      <c r="A125" s="12">
        <f t="shared" si="1"/>
        <v>46065</v>
      </c>
    </row>
    <row r="126">
      <c r="A126" s="12">
        <f t="shared" si="1"/>
        <v>46066</v>
      </c>
    </row>
    <row r="127">
      <c r="A127" s="12">
        <f t="shared" si="1"/>
        <v>46067</v>
      </c>
    </row>
    <row r="128">
      <c r="A128" s="12">
        <f t="shared" si="1"/>
        <v>46068</v>
      </c>
    </row>
  </sheetData>
  <mergeCells count="11">
    <mergeCell ref="B78:B97"/>
    <mergeCell ref="C78:C97"/>
    <mergeCell ref="B98:B128"/>
    <mergeCell ref="C98:C128"/>
    <mergeCell ref="B2:B7"/>
    <mergeCell ref="C2:C7"/>
    <mergeCell ref="B8:B21"/>
    <mergeCell ref="C8:C21"/>
    <mergeCell ref="B22:B77"/>
    <mergeCell ref="C22:C77"/>
    <mergeCell ref="D68:D7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4" width="25.25"/>
    <col customWidth="1" min="5" max="5" width="24.5"/>
    <col customWidth="1" min="6" max="6" width="25.25"/>
    <col customWidth="1" min="8" max="10" width="27.75"/>
    <col customWidth="1" min="11" max="11" width="15.5"/>
    <col customWidth="1" min="12" max="12" width="24.5"/>
    <col customWidth="1" min="13" max="13" width="23.5"/>
  </cols>
  <sheetData>
    <row r="1" ht="22.5" customHeight="1">
      <c r="A1" s="14" t="s">
        <v>15</v>
      </c>
      <c r="B1" s="14" t="s">
        <v>16</v>
      </c>
      <c r="C1" s="14" t="s">
        <v>17</v>
      </c>
      <c r="D1" s="15" t="s">
        <v>18</v>
      </c>
      <c r="E1" s="15" t="s">
        <v>19</v>
      </c>
      <c r="F1" s="15" t="s">
        <v>20</v>
      </c>
    </row>
    <row r="2" ht="22.5" customHeight="1">
      <c r="A2" s="16" t="s">
        <v>21</v>
      </c>
      <c r="B2" s="16" t="s">
        <v>22</v>
      </c>
      <c r="C2" s="17" t="s">
        <v>23</v>
      </c>
      <c r="D2" s="18" t="s">
        <v>24</v>
      </c>
      <c r="E2" s="18" t="s">
        <v>25</v>
      </c>
      <c r="F2" s="18" t="s">
        <v>26</v>
      </c>
    </row>
    <row r="3" ht="22.5" customHeight="1">
      <c r="A3" s="16" t="s">
        <v>27</v>
      </c>
      <c r="B3" s="16" t="s">
        <v>28</v>
      </c>
      <c r="C3" s="17" t="s">
        <v>29</v>
      </c>
      <c r="D3" s="18" t="s">
        <v>24</v>
      </c>
      <c r="E3" s="18" t="s">
        <v>30</v>
      </c>
      <c r="F3" s="18" t="s">
        <v>31</v>
      </c>
    </row>
    <row r="4" ht="22.5" customHeight="1">
      <c r="A4" s="16" t="s">
        <v>32</v>
      </c>
      <c r="B4" s="16" t="s">
        <v>33</v>
      </c>
      <c r="C4" s="17" t="s">
        <v>34</v>
      </c>
      <c r="D4" s="18" t="s">
        <v>24</v>
      </c>
      <c r="E4" s="18" t="s">
        <v>35</v>
      </c>
      <c r="F4" s="18" t="s">
        <v>36</v>
      </c>
    </row>
    <row r="5" ht="22.5" customHeight="1">
      <c r="A5" s="16" t="s">
        <v>37</v>
      </c>
      <c r="B5" s="16" t="s">
        <v>38</v>
      </c>
      <c r="C5" s="17" t="s">
        <v>39</v>
      </c>
      <c r="D5" s="18" t="s">
        <v>24</v>
      </c>
      <c r="E5" s="18" t="s">
        <v>40</v>
      </c>
      <c r="F5" s="18" t="s">
        <v>41</v>
      </c>
    </row>
    <row r="6" ht="22.5" customHeight="1">
      <c r="A6" s="16" t="s">
        <v>42</v>
      </c>
      <c r="B6" s="16" t="s">
        <v>43</v>
      </c>
      <c r="C6" s="17" t="s">
        <v>44</v>
      </c>
      <c r="D6" s="18" t="s">
        <v>24</v>
      </c>
      <c r="E6" s="18" t="s">
        <v>45</v>
      </c>
      <c r="F6" s="18" t="s">
        <v>46</v>
      </c>
    </row>
    <row r="7" ht="22.5" customHeight="1">
      <c r="A7" s="16" t="s">
        <v>47</v>
      </c>
      <c r="B7" s="16" t="s">
        <v>48</v>
      </c>
      <c r="C7" s="17" t="s">
        <v>49</v>
      </c>
      <c r="D7" s="18" t="s">
        <v>24</v>
      </c>
      <c r="E7" s="18" t="s">
        <v>35</v>
      </c>
      <c r="F7" s="18" t="s">
        <v>50</v>
      </c>
    </row>
    <row r="8" ht="22.5" customHeight="1">
      <c r="A8" s="16" t="s">
        <v>51</v>
      </c>
      <c r="B8" s="16" t="s">
        <v>52</v>
      </c>
      <c r="C8" s="17" t="s">
        <v>53</v>
      </c>
      <c r="D8" s="18" t="s">
        <v>24</v>
      </c>
      <c r="E8" s="18" t="s">
        <v>54</v>
      </c>
      <c r="F8" s="18" t="s">
        <v>55</v>
      </c>
    </row>
    <row r="9" ht="22.5" customHeight="1">
      <c r="A9" s="16" t="s">
        <v>56</v>
      </c>
      <c r="B9" s="16" t="s">
        <v>57</v>
      </c>
      <c r="C9" s="17" t="s">
        <v>58</v>
      </c>
      <c r="D9" s="18" t="s">
        <v>24</v>
      </c>
      <c r="E9" s="18" t="s">
        <v>30</v>
      </c>
      <c r="F9" s="18" t="s">
        <v>59</v>
      </c>
    </row>
    <row r="10" ht="22.5" customHeight="1">
      <c r="A10" s="16" t="s">
        <v>60</v>
      </c>
      <c r="B10" s="16" t="s">
        <v>61</v>
      </c>
      <c r="C10" s="17" t="s">
        <v>62</v>
      </c>
      <c r="D10" s="18" t="s">
        <v>24</v>
      </c>
      <c r="E10" s="18" t="s">
        <v>30</v>
      </c>
      <c r="F10" s="18" t="s">
        <v>63</v>
      </c>
    </row>
    <row r="11" ht="22.5" customHeight="1">
      <c r="A11" s="16" t="s">
        <v>64</v>
      </c>
      <c r="B11" s="16" t="s">
        <v>65</v>
      </c>
      <c r="C11" s="17" t="s">
        <v>66</v>
      </c>
      <c r="D11" s="18" t="s">
        <v>24</v>
      </c>
      <c r="E11" s="18" t="s">
        <v>67</v>
      </c>
      <c r="F11" s="18" t="s">
        <v>68</v>
      </c>
    </row>
    <row r="12" ht="22.5" customHeight="1">
      <c r="A12" s="16" t="s">
        <v>69</v>
      </c>
      <c r="B12" s="16" t="s">
        <v>70</v>
      </c>
      <c r="C12" s="17" t="s">
        <v>71</v>
      </c>
      <c r="D12" s="18" t="s">
        <v>24</v>
      </c>
      <c r="E12" s="18" t="s">
        <v>67</v>
      </c>
      <c r="F12" s="18" t="s">
        <v>72</v>
      </c>
    </row>
    <row r="13" ht="22.5" customHeight="1">
      <c r="A13" s="16" t="s">
        <v>73</v>
      </c>
      <c r="B13" s="16" t="s">
        <v>74</v>
      </c>
      <c r="C13" s="17" t="s">
        <v>75</v>
      </c>
      <c r="D13" s="18" t="s">
        <v>24</v>
      </c>
      <c r="E13" s="18" t="s">
        <v>76</v>
      </c>
      <c r="F13" s="18" t="s">
        <v>77</v>
      </c>
    </row>
    <row r="14" ht="22.5" customHeight="1">
      <c r="A14" s="16" t="s">
        <v>78</v>
      </c>
      <c r="B14" s="16" t="s">
        <v>79</v>
      </c>
      <c r="C14" s="17" t="s">
        <v>80</v>
      </c>
      <c r="D14" s="18" t="s">
        <v>24</v>
      </c>
      <c r="E14" s="18" t="s">
        <v>67</v>
      </c>
      <c r="F14" s="18" t="s">
        <v>55</v>
      </c>
    </row>
    <row r="16" ht="22.5" customHeight="1">
      <c r="A16" s="15" t="s">
        <v>15</v>
      </c>
      <c r="B16" s="14" t="s">
        <v>16</v>
      </c>
      <c r="C16" s="14" t="s">
        <v>17</v>
      </c>
      <c r="D16" s="15" t="s">
        <v>18</v>
      </c>
      <c r="E16" s="15" t="s">
        <v>19</v>
      </c>
      <c r="F16" s="15" t="s">
        <v>20</v>
      </c>
    </row>
    <row r="17" ht="22.5" customHeight="1">
      <c r="A17" s="18" t="s">
        <v>81</v>
      </c>
      <c r="B17" s="16" t="s">
        <v>82</v>
      </c>
      <c r="C17" s="17" t="s">
        <v>83</v>
      </c>
      <c r="D17" s="18" t="s">
        <v>84</v>
      </c>
      <c r="E17" s="18" t="s">
        <v>85</v>
      </c>
      <c r="F17" s="18" t="s">
        <v>86</v>
      </c>
    </row>
    <row r="18" ht="22.5" customHeight="1">
      <c r="A18" s="18" t="s">
        <v>87</v>
      </c>
      <c r="B18" s="16" t="s">
        <v>88</v>
      </c>
      <c r="C18" s="17" t="s">
        <v>89</v>
      </c>
      <c r="D18" s="18" t="s">
        <v>84</v>
      </c>
      <c r="E18" s="18" t="s">
        <v>90</v>
      </c>
      <c r="F18" s="18" t="s">
        <v>55</v>
      </c>
    </row>
    <row r="19" ht="22.5" customHeight="1">
      <c r="A19" s="18" t="s">
        <v>91</v>
      </c>
      <c r="B19" s="16" t="s">
        <v>92</v>
      </c>
      <c r="C19" s="17" t="s">
        <v>93</v>
      </c>
      <c r="D19" s="18" t="s">
        <v>84</v>
      </c>
      <c r="E19" s="18" t="s">
        <v>94</v>
      </c>
      <c r="F19" s="18" t="s">
        <v>95</v>
      </c>
    </row>
    <row r="20" ht="22.5" customHeight="1">
      <c r="A20" s="18" t="s">
        <v>96</v>
      </c>
      <c r="B20" s="16" t="s">
        <v>97</v>
      </c>
      <c r="C20" s="17" t="s">
        <v>98</v>
      </c>
      <c r="D20" s="18" t="s">
        <v>84</v>
      </c>
      <c r="E20" s="18" t="s">
        <v>99</v>
      </c>
      <c r="F20" s="18" t="s">
        <v>100</v>
      </c>
    </row>
    <row r="21" ht="22.5" customHeight="1">
      <c r="A21" s="18" t="s">
        <v>101</v>
      </c>
      <c r="B21" s="16" t="s">
        <v>102</v>
      </c>
      <c r="C21" s="17" t="s">
        <v>103</v>
      </c>
      <c r="D21" s="18" t="s">
        <v>84</v>
      </c>
      <c r="E21" s="18" t="s">
        <v>45</v>
      </c>
      <c r="F21" s="18" t="s">
        <v>104</v>
      </c>
    </row>
    <row r="22" ht="22.5" customHeight="1">
      <c r="A22" s="18" t="s">
        <v>105</v>
      </c>
      <c r="B22" s="16" t="s">
        <v>106</v>
      </c>
      <c r="C22" s="17" t="s">
        <v>107</v>
      </c>
      <c r="D22" s="18" t="s">
        <v>84</v>
      </c>
      <c r="E22" s="18" t="s">
        <v>85</v>
      </c>
      <c r="F22" s="18" t="s">
        <v>108</v>
      </c>
    </row>
    <row r="23" ht="22.5" customHeight="1">
      <c r="A23" s="18" t="s">
        <v>109</v>
      </c>
      <c r="B23" s="16" t="s">
        <v>110</v>
      </c>
      <c r="C23" s="17" t="s">
        <v>111</v>
      </c>
      <c r="D23" s="18" t="s">
        <v>84</v>
      </c>
      <c r="E23" s="18" t="s">
        <v>67</v>
      </c>
      <c r="F23" s="18" t="s">
        <v>72</v>
      </c>
    </row>
    <row r="25" ht="22.5" customHeight="1">
      <c r="A25" s="15" t="s">
        <v>15</v>
      </c>
      <c r="B25" s="14" t="s">
        <v>16</v>
      </c>
      <c r="C25" s="14" t="s">
        <v>17</v>
      </c>
      <c r="D25" s="15" t="s">
        <v>18</v>
      </c>
      <c r="E25" s="15" t="s">
        <v>19</v>
      </c>
      <c r="F25" s="15" t="s">
        <v>20</v>
      </c>
    </row>
    <row r="26" ht="22.5" customHeight="1">
      <c r="A26" s="18" t="s">
        <v>81</v>
      </c>
      <c r="B26" s="16" t="s">
        <v>112</v>
      </c>
      <c r="C26" s="17" t="s">
        <v>113</v>
      </c>
      <c r="D26" s="18" t="s">
        <v>114</v>
      </c>
      <c r="E26" s="18" t="s">
        <v>85</v>
      </c>
      <c r="F26" s="18" t="s">
        <v>86</v>
      </c>
    </row>
    <row r="27" ht="22.5" customHeight="1">
      <c r="A27" s="18" t="s">
        <v>115</v>
      </c>
      <c r="B27" s="16" t="s">
        <v>116</v>
      </c>
      <c r="C27" s="17" t="s">
        <v>117</v>
      </c>
      <c r="D27" s="18" t="s">
        <v>114</v>
      </c>
      <c r="E27" s="18" t="s">
        <v>30</v>
      </c>
      <c r="F27" s="18" t="s">
        <v>36</v>
      </c>
    </row>
    <row r="28" ht="22.5" customHeight="1">
      <c r="A28" s="18" t="s">
        <v>118</v>
      </c>
      <c r="B28" s="16" t="s">
        <v>119</v>
      </c>
      <c r="C28" s="17" t="s">
        <v>120</v>
      </c>
      <c r="D28" s="18" t="s">
        <v>114</v>
      </c>
      <c r="E28" s="18" t="s">
        <v>45</v>
      </c>
      <c r="F28" s="18" t="s">
        <v>121</v>
      </c>
    </row>
    <row r="29" ht="22.5" customHeight="1">
      <c r="A29" s="18" t="s">
        <v>122</v>
      </c>
      <c r="B29" s="16" t="s">
        <v>123</v>
      </c>
      <c r="C29" s="17" t="s">
        <v>124</v>
      </c>
      <c r="D29" s="18" t="s">
        <v>114</v>
      </c>
      <c r="E29" s="18" t="s">
        <v>30</v>
      </c>
      <c r="F29" s="18" t="s">
        <v>125</v>
      </c>
    </row>
    <row r="30" ht="22.5" customHeight="1">
      <c r="A30" s="18" t="s">
        <v>126</v>
      </c>
      <c r="B30" s="16" t="s">
        <v>127</v>
      </c>
      <c r="C30" s="17" t="s">
        <v>128</v>
      </c>
      <c r="D30" s="18" t="s">
        <v>114</v>
      </c>
      <c r="E30" s="18" t="s">
        <v>67</v>
      </c>
      <c r="F30" s="18" t="s">
        <v>72</v>
      </c>
    </row>
    <row r="33" ht="22.5" customHeight="1">
      <c r="A33" s="15" t="s">
        <v>15</v>
      </c>
      <c r="B33" s="14" t="s">
        <v>16</v>
      </c>
      <c r="C33" s="14" t="s">
        <v>17</v>
      </c>
      <c r="D33" s="15" t="s">
        <v>18</v>
      </c>
      <c r="E33" s="15" t="s">
        <v>19</v>
      </c>
      <c r="F33" s="14" t="s">
        <v>20</v>
      </c>
    </row>
    <row r="34" ht="22.5" customHeight="1">
      <c r="A34" s="18" t="s">
        <v>81</v>
      </c>
      <c r="B34" s="16" t="s">
        <v>129</v>
      </c>
      <c r="C34" s="16" t="s">
        <v>130</v>
      </c>
      <c r="D34" s="18" t="s">
        <v>131</v>
      </c>
      <c r="E34" s="18" t="s">
        <v>85</v>
      </c>
      <c r="F34" s="16" t="s">
        <v>86</v>
      </c>
    </row>
    <row r="35" ht="22.5" customHeight="1">
      <c r="A35" s="18" t="s">
        <v>132</v>
      </c>
      <c r="B35" s="16" t="s">
        <v>133</v>
      </c>
      <c r="C35" s="16" t="s">
        <v>134</v>
      </c>
      <c r="D35" s="18" t="s">
        <v>131</v>
      </c>
      <c r="E35" s="18" t="s">
        <v>30</v>
      </c>
      <c r="F35" s="16" t="s">
        <v>135</v>
      </c>
    </row>
    <row r="36" ht="22.5" customHeight="1">
      <c r="A36" s="18" t="s">
        <v>136</v>
      </c>
      <c r="B36" s="16" t="s">
        <v>137</v>
      </c>
      <c r="C36" s="16" t="s">
        <v>138</v>
      </c>
      <c r="D36" s="18" t="s">
        <v>131</v>
      </c>
      <c r="E36" s="18" t="s">
        <v>30</v>
      </c>
      <c r="F36" s="16" t="s">
        <v>139</v>
      </c>
    </row>
    <row r="37" ht="22.5" customHeight="1">
      <c r="A37" s="18" t="s">
        <v>140</v>
      </c>
      <c r="B37" s="16" t="s">
        <v>141</v>
      </c>
      <c r="C37" s="16" t="s">
        <v>142</v>
      </c>
      <c r="D37" s="18" t="s">
        <v>131</v>
      </c>
      <c r="E37" s="18" t="s">
        <v>143</v>
      </c>
      <c r="F37" s="16" t="s">
        <v>144</v>
      </c>
    </row>
    <row r="38" ht="22.5" customHeight="1">
      <c r="A38" s="18" t="s">
        <v>145</v>
      </c>
      <c r="B38" s="16" t="s">
        <v>146</v>
      </c>
      <c r="C38" s="16" t="s">
        <v>147</v>
      </c>
      <c r="D38" s="18" t="s">
        <v>131</v>
      </c>
      <c r="E38" s="18" t="s">
        <v>67</v>
      </c>
      <c r="F38" s="16" t="s">
        <v>148</v>
      </c>
    </row>
    <row r="39" ht="22.5" customHeight="1">
      <c r="A39" s="18" t="s">
        <v>149</v>
      </c>
      <c r="B39" s="16" t="s">
        <v>150</v>
      </c>
      <c r="C39" s="16" t="s">
        <v>151</v>
      </c>
      <c r="D39" s="18" t="s">
        <v>131</v>
      </c>
      <c r="E39" s="18" t="s">
        <v>67</v>
      </c>
      <c r="F39" s="16" t="s">
        <v>55</v>
      </c>
    </row>
    <row r="41" ht="22.5" customHeight="1">
      <c r="A41" s="15" t="s">
        <v>15</v>
      </c>
      <c r="B41" s="14" t="s">
        <v>16</v>
      </c>
      <c r="C41" s="14" t="s">
        <v>17</v>
      </c>
      <c r="D41" s="15" t="s">
        <v>18</v>
      </c>
      <c r="E41" s="15" t="s">
        <v>19</v>
      </c>
      <c r="F41" s="15" t="s">
        <v>20</v>
      </c>
    </row>
    <row r="42" ht="22.5" customHeight="1">
      <c r="A42" s="18" t="s">
        <v>81</v>
      </c>
      <c r="B42" s="16" t="s">
        <v>112</v>
      </c>
      <c r="C42" s="16" t="s">
        <v>152</v>
      </c>
      <c r="D42" s="18" t="s">
        <v>153</v>
      </c>
      <c r="E42" s="18" t="s">
        <v>85</v>
      </c>
      <c r="F42" s="18" t="s">
        <v>86</v>
      </c>
    </row>
    <row r="43" ht="22.5" customHeight="1">
      <c r="A43" s="18" t="s">
        <v>115</v>
      </c>
      <c r="B43" s="16" t="s">
        <v>154</v>
      </c>
      <c r="C43" s="16" t="s">
        <v>155</v>
      </c>
      <c r="D43" s="18" t="s">
        <v>153</v>
      </c>
      <c r="E43" s="18" t="s">
        <v>30</v>
      </c>
      <c r="F43" s="18" t="s">
        <v>36</v>
      </c>
    </row>
    <row r="44" ht="22.5" customHeight="1">
      <c r="A44" s="18" t="s">
        <v>156</v>
      </c>
      <c r="B44" s="16" t="s">
        <v>157</v>
      </c>
      <c r="C44" s="17" t="s">
        <v>158</v>
      </c>
      <c r="D44" s="18" t="s">
        <v>153</v>
      </c>
      <c r="E44" s="18" t="s">
        <v>159</v>
      </c>
      <c r="F44" s="18" t="s">
        <v>160</v>
      </c>
    </row>
    <row r="45" ht="22.5" customHeight="1">
      <c r="A45" s="18" t="s">
        <v>161</v>
      </c>
      <c r="B45" s="16" t="s">
        <v>162</v>
      </c>
      <c r="C45" s="17" t="s">
        <v>163</v>
      </c>
      <c r="D45" s="18" t="s">
        <v>153</v>
      </c>
      <c r="E45" s="18" t="s">
        <v>85</v>
      </c>
      <c r="F45" s="18" t="s">
        <v>164</v>
      </c>
    </row>
    <row r="46" ht="22.5" customHeight="1">
      <c r="A46" s="18" t="s">
        <v>165</v>
      </c>
      <c r="B46" s="16" t="s">
        <v>166</v>
      </c>
      <c r="C46" s="17" t="s">
        <v>167</v>
      </c>
      <c r="D46" s="18" t="s">
        <v>153</v>
      </c>
      <c r="E46" s="18" t="s">
        <v>168</v>
      </c>
      <c r="F46" s="18" t="s">
        <v>169</v>
      </c>
    </row>
    <row r="47" ht="22.5" customHeight="1">
      <c r="A47" s="18" t="s">
        <v>170</v>
      </c>
      <c r="B47" s="16" t="s">
        <v>171</v>
      </c>
      <c r="C47" s="17" t="s">
        <v>172</v>
      </c>
      <c r="D47" s="18" t="s">
        <v>153</v>
      </c>
      <c r="E47" s="18" t="s">
        <v>67</v>
      </c>
      <c r="F47" s="18" t="s">
        <v>72</v>
      </c>
    </row>
  </sheetData>
  <drawing r:id="rId1"/>
  <tableParts count="5"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49.38"/>
    <col customWidth="1" min="3" max="3" width="19.63"/>
    <col customWidth="1" min="5" max="5" width="20.88"/>
    <col customWidth="1" min="7" max="7" width="27.25"/>
    <col customWidth="1" min="8" max="8" width="37.63"/>
  </cols>
  <sheetData>
    <row r="1" ht="22.5" customHeight="1">
      <c r="A1" s="15" t="s">
        <v>173</v>
      </c>
      <c r="B1" s="14" t="s">
        <v>174</v>
      </c>
    </row>
    <row r="2" ht="22.5" customHeight="1">
      <c r="A2" s="19" t="s">
        <v>175</v>
      </c>
      <c r="B2" s="20" t="s">
        <v>176</v>
      </c>
    </row>
    <row r="3" ht="22.5" customHeight="1">
      <c r="A3" s="19"/>
      <c r="B3" s="21" t="s">
        <v>177</v>
      </c>
    </row>
    <row r="4" ht="22.5" customHeight="1">
      <c r="A4" s="19"/>
      <c r="B4" s="20" t="s">
        <v>178</v>
      </c>
    </row>
    <row r="5" ht="22.5" customHeight="1">
      <c r="A5" s="19" t="s">
        <v>179</v>
      </c>
      <c r="B5" s="20" t="s">
        <v>180</v>
      </c>
    </row>
    <row r="6" ht="22.5" customHeight="1">
      <c r="A6" s="19"/>
      <c r="B6" s="20" t="s">
        <v>181</v>
      </c>
    </row>
    <row r="7" ht="22.5" customHeight="1">
      <c r="A7" s="19"/>
      <c r="B7" s="20" t="s">
        <v>182</v>
      </c>
    </row>
    <row r="8" ht="22.5" customHeight="1">
      <c r="A8" s="19" t="s">
        <v>183</v>
      </c>
      <c r="B8" s="20" t="s">
        <v>184</v>
      </c>
    </row>
    <row r="9" ht="22.5" customHeight="1">
      <c r="A9" s="19"/>
      <c r="B9" s="20" t="s">
        <v>185</v>
      </c>
    </row>
  </sheetData>
  <drawing r:id="rId1"/>
  <tableParts count="1">
    <tablePart r:id="rId3"/>
  </tableParts>
</worksheet>
</file>