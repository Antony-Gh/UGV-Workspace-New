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" sheetId="1" r:id="rId4"/>
    <sheet state="visible" name="Compnents" sheetId="2" r:id="rId5"/>
  </sheets>
  <definedNames/>
  <calcPr/>
</workbook>
</file>

<file path=xl/sharedStrings.xml><?xml version="1.0" encoding="utf-8"?>
<sst xmlns="http://schemas.openxmlformats.org/spreadsheetml/2006/main" count="44" uniqueCount="43">
  <si>
    <t>WE</t>
  </si>
  <si>
    <t>JLC</t>
  </si>
  <si>
    <t>Matlap</t>
  </si>
  <si>
    <t>Protus</t>
  </si>
  <si>
    <t>bambu Lab</t>
  </si>
  <si>
    <t>أعلى فرص للرعاية (80%+)</t>
  </si>
  <si>
    <t>Schneider Electric</t>
  </si>
  <si>
    <t>Valeo مصر</t>
  </si>
  <si>
    <t>Siemens Egypt</t>
  </si>
  <si>
    <t>فرص قوية (65–75%)</t>
  </si>
  <si>
    <t>السويدي</t>
  </si>
  <si>
    <t>Vodafone Foundation</t>
  </si>
  <si>
    <t>Etisalat Egypt</t>
  </si>
  <si>
    <t>فرص متوسطة (50–60%)</t>
  </si>
  <si>
    <t>غبور</t>
  </si>
  <si>
    <t>WE Telecom</t>
  </si>
  <si>
    <t>Orascom Construction</t>
  </si>
  <si>
    <t>Fresh</t>
  </si>
  <si>
    <t xml:space="preserve">name </t>
  </si>
  <si>
    <t xml:space="preserve">Price </t>
  </si>
  <si>
    <t>quantity</t>
  </si>
  <si>
    <t>Link</t>
  </si>
  <si>
    <t>T.Price</t>
  </si>
  <si>
    <t xml:space="preserve">notes </t>
  </si>
  <si>
    <t>Sum</t>
  </si>
  <si>
    <t>Jetson Orin nano Super</t>
  </si>
  <si>
    <t>All Are Options</t>
  </si>
  <si>
    <t>The NVIDIA® Jetson AGX Thor™</t>
  </si>
  <si>
    <t>NVIDIA Jetson AGX Orin 64GB Developer Kit</t>
  </si>
  <si>
    <t>Proximate Not Final</t>
  </si>
  <si>
    <t>BLDC Motor 400W</t>
  </si>
  <si>
    <t>5~7</t>
  </si>
  <si>
    <t>384.85 W</t>
  </si>
  <si>
    <t>Motors</t>
  </si>
  <si>
    <t>DC Motor Drivers for wheels</t>
  </si>
  <si>
    <t xml:space="preserve">Regestration </t>
  </si>
  <si>
    <t>ERC</t>
  </si>
  <si>
    <t>free</t>
  </si>
  <si>
    <t>ARC</t>
  </si>
  <si>
    <t>UGVC</t>
  </si>
  <si>
    <t>URC</t>
  </si>
  <si>
    <t>IRC</t>
  </si>
  <si>
    <t>IRDC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</si>
</sst>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1A1A1A"/>
      <name val="&quot;NVIDIA Sans&quot;"/>
    </font>
    <font>
      <b/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Font="1"/>
    <xf borderId="0" fillId="0" fontId="1" numFmtId="0" xfId="0" applyFont="1"/>
    <xf borderId="0" fillId="4" fontId="1" numFmtId="0" xfId="0" applyAlignment="1" applyFill="1" applyFont="1">
      <alignment horizontal="center" readingOrder="0" vertical="center"/>
    </xf>
    <xf borderId="0" fillId="5" fontId="1" numFmtId="0" xfId="0" applyFill="1" applyFont="1"/>
    <xf borderId="0" fillId="6" fontId="3" numFmtId="0" xfId="0" applyAlignment="1" applyFill="1" applyFont="1">
      <alignment readingOrder="0"/>
    </xf>
    <xf borderId="0" fillId="7" fontId="1" numFmtId="0" xfId="0" applyAlignment="1" applyFill="1" applyFont="1">
      <alignment horizontal="center" readingOrder="0" vertical="center"/>
    </xf>
    <xf borderId="0" fillId="7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2" t="s">
        <v>5</v>
      </c>
    </row>
    <row r="7">
      <c r="A7" s="1" t="s">
        <v>6</v>
      </c>
    </row>
    <row r="8">
      <c r="A8" s="2" t="s">
        <v>7</v>
      </c>
    </row>
    <row r="9">
      <c r="A9" s="1" t="s">
        <v>8</v>
      </c>
    </row>
    <row r="10">
      <c r="A10" s="2" t="s">
        <v>9</v>
      </c>
    </row>
    <row r="11">
      <c r="A11" s="2" t="s">
        <v>10</v>
      </c>
    </row>
    <row r="12">
      <c r="A12" s="1" t="s">
        <v>11</v>
      </c>
    </row>
    <row r="13">
      <c r="A13" s="1" t="s">
        <v>12</v>
      </c>
    </row>
    <row r="14">
      <c r="A14" s="2" t="s">
        <v>13</v>
      </c>
    </row>
    <row r="15">
      <c r="A15" s="2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4" t="s">
        <v>23</v>
      </c>
      <c r="H1" s="1" t="s">
        <v>24</v>
      </c>
    </row>
    <row r="2">
      <c r="A2" s="1" t="s">
        <v>25</v>
      </c>
      <c r="B2" s="1">
        <f>25/2</f>
        <v>12.5</v>
      </c>
      <c r="C2" s="1">
        <v>2.0</v>
      </c>
      <c r="D2" s="5" t="str">
        <f>HYPERLINK("https://www.amazon.com/dp/B0BZJTQ5YP?th=1","Link")</f>
        <v>Link</v>
      </c>
      <c r="E2" s="6">
        <f t="shared" ref="E2:E3" si="1">B2*2</f>
        <v>25</v>
      </c>
      <c r="F2" s="7" t="s">
        <v>26</v>
      </c>
      <c r="H2" s="6">
        <f>Sum(E3,E8,E9,E10,E19,E20,E21,E22)</f>
        <v>148.5</v>
      </c>
    </row>
    <row r="3">
      <c r="B3" s="1">
        <f>57/2</f>
        <v>28.5</v>
      </c>
      <c r="D3" s="5" t="str">
        <f>HYPERLINK("https://www.seeedstudio.com/NVIDIArJetson-AGX-Orintm-64GB-Developer-Kit-p-5641.html","Link_Egypt")</f>
        <v>Link_Egypt</v>
      </c>
      <c r="E3" s="8">
        <f t="shared" si="1"/>
        <v>57</v>
      </c>
      <c r="H3" s="6">
        <f>SUM(E2,E3,E4,E5,E8,E9,E10,E19,E20,E21,E22)</f>
        <v>773.5</v>
      </c>
    </row>
    <row r="4">
      <c r="A4" s="9" t="s">
        <v>27</v>
      </c>
      <c r="B4" s="1">
        <v>200.0</v>
      </c>
      <c r="C4" s="1">
        <v>2.0</v>
      </c>
      <c r="D4" s="5" t="str">
        <f>HYPERLINK("https://www.arrow.com/en/products/945-14070-0080-000/nvidia","Link")</f>
        <v>Link</v>
      </c>
      <c r="E4" s="6">
        <f t="shared" ref="E4:E5" si="2">B4*C4</f>
        <v>400</v>
      </c>
    </row>
    <row r="5">
      <c r="A5" s="1" t="s">
        <v>28</v>
      </c>
      <c r="B5" s="1">
        <v>100.0</v>
      </c>
      <c r="C5" s="1">
        <v>2.0</v>
      </c>
      <c r="D5" s="5" t="str">
        <f>HYPERLINK("https://www.seeedstudio.com/NVIDIArJetson-AGX-Orintm-64GB-Developer-Kit-p-5641.html","Link")</f>
        <v>Link</v>
      </c>
      <c r="E5" s="6">
        <f t="shared" si="2"/>
        <v>200</v>
      </c>
    </row>
    <row r="6">
      <c r="A6" s="10" t="s">
        <v>29</v>
      </c>
    </row>
    <row r="8">
      <c r="A8" s="1" t="s">
        <v>30</v>
      </c>
      <c r="B8" s="1" t="s">
        <v>31</v>
      </c>
      <c r="C8" s="1">
        <v>2.0</v>
      </c>
      <c r="E8" s="1">
        <v>10.0</v>
      </c>
      <c r="F8" s="1" t="s">
        <v>32</v>
      </c>
    </row>
    <row r="9">
      <c r="A9" s="1" t="s">
        <v>33</v>
      </c>
      <c r="B9" s="1">
        <v>2.0</v>
      </c>
      <c r="C9" s="1">
        <v>10.0</v>
      </c>
      <c r="E9" s="6">
        <f t="shared" ref="E9:E10" si="3">B9*C9</f>
        <v>20</v>
      </c>
    </row>
    <row r="10">
      <c r="A10" s="1" t="s">
        <v>34</v>
      </c>
      <c r="B10" s="1">
        <f>3/2</f>
        <v>1.5</v>
      </c>
      <c r="C10" s="1">
        <v>3.0</v>
      </c>
      <c r="E10" s="6">
        <f t="shared" si="3"/>
        <v>4.5</v>
      </c>
    </row>
    <row r="15">
      <c r="A15" s="11" t="s">
        <v>35</v>
      </c>
    </row>
    <row r="17">
      <c r="A17" s="1" t="s">
        <v>36</v>
      </c>
      <c r="B17" s="1" t="s">
        <v>37</v>
      </c>
    </row>
    <row r="18">
      <c r="A18" s="1" t="s">
        <v>38</v>
      </c>
      <c r="B18" s="1" t="s">
        <v>37</v>
      </c>
    </row>
    <row r="19">
      <c r="A19" s="1" t="s">
        <v>39</v>
      </c>
      <c r="B19" s="1">
        <v>2.0</v>
      </c>
      <c r="E19" s="1">
        <v>2.0</v>
      </c>
    </row>
    <row r="20">
      <c r="A20" s="1" t="s">
        <v>40</v>
      </c>
      <c r="B20" s="1">
        <v>25.0</v>
      </c>
      <c r="E20" s="1">
        <v>25.0</v>
      </c>
    </row>
    <row r="21">
      <c r="A21" s="1" t="s">
        <v>41</v>
      </c>
      <c r="B21" s="1">
        <v>25.0</v>
      </c>
      <c r="E21" s="1">
        <v>25.0</v>
      </c>
    </row>
    <row r="22">
      <c r="A22" s="1" t="s">
        <v>42</v>
      </c>
      <c r="B22" s="1">
        <v>5.0</v>
      </c>
      <c r="E22" s="1">
        <v>5.0</v>
      </c>
    </row>
  </sheetData>
  <mergeCells count="5">
    <mergeCell ref="A2:A3"/>
    <mergeCell ref="C2:C3"/>
    <mergeCell ref="F2:F5"/>
    <mergeCell ref="A6:F7"/>
    <mergeCell ref="A15:F16"/>
  </mergeCells>
  <drawing r:id="rId1"/>
</worksheet>
</file>